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tan\Documents\"/>
    </mc:Choice>
  </mc:AlternateContent>
  <xr:revisionPtr revIDLastSave="0" documentId="13_ncr:1_{2DF6D983-83D1-4F9B-9562-5B4A9F0E321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店舗一覧" sheetId="2" r:id="rId1"/>
    <sheet name="MAP" sheetId="1" r:id="rId2"/>
  </sheets>
  <functionGroups builtInGroupCount="19"/>
  <definedNames>
    <definedName name="_xlnm._FilterDatabase" localSheetId="0" hidden="1">店舗一覧!$A$1:$J$1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2" l="1"/>
  <c r="C5" i="1" a="1"/>
  <c r="C5" i="1" s="1"/>
  <c r="D5" i="1" a="1"/>
  <c r="D5" i="1" s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2" i="2"/>
  <c r="E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<sst xmlns="http://schemas.openxmlformats.org/spreadsheetml/2006/main" count="394" uniqueCount="261">
  <si>
    <t>ジオコーディング</t>
    <phoneticPr fontId="1"/>
  </si>
  <si>
    <t>https://www.geocoding.jp/api/</t>
    <phoneticPr fontId="1"/>
  </si>
  <si>
    <t>住所</t>
    <rPh sb="0" eb="2">
      <t>ジュウショ</t>
    </rPh>
    <phoneticPr fontId="1"/>
  </si>
  <si>
    <t>MAP</t>
    <phoneticPr fontId="1"/>
  </si>
  <si>
    <t>緯度 (lat)</t>
    <rPh sb="0" eb="2">
      <t>イド</t>
    </rPh>
    <phoneticPr fontId="1"/>
  </si>
  <si>
    <t>経度 (lng)</t>
    <rPh sb="0" eb="2">
      <t>ケイド</t>
    </rPh>
    <phoneticPr fontId="1"/>
  </si>
  <si>
    <t>兵庫県神戸市中央区北長狭通1-31-33</t>
    <phoneticPr fontId="1"/>
  </si>
  <si>
    <t>name</t>
    <phoneticPr fontId="1"/>
  </si>
  <si>
    <t>address</t>
    <phoneticPr fontId="1"/>
  </si>
  <si>
    <t>lat</t>
    <phoneticPr fontId="1"/>
  </si>
  <si>
    <t>lng</t>
    <phoneticPr fontId="1"/>
  </si>
  <si>
    <t>genre</t>
    <phoneticPr fontId="1"/>
  </si>
  <si>
    <t>scene</t>
    <phoneticPr fontId="1"/>
  </si>
  <si>
    <t>seat</t>
    <phoneticPr fontId="1"/>
  </si>
  <si>
    <t>course</t>
    <phoneticPr fontId="1"/>
  </si>
  <si>
    <t>alcohol</t>
    <phoneticPr fontId="1"/>
  </si>
  <si>
    <t>url</t>
    <phoneticPr fontId="1"/>
  </si>
  <si>
    <t>大阪府大阪市中央区南本町3-3-23 インペリアル船場ビル B1F</t>
  </si>
  <si>
    <t>居酒屋,海鮮,日本酒バー</t>
  </si>
  <si>
    <t>家族・子供と,一人で入りやすい</t>
  </si>
  <si>
    <t>貸切</t>
  </si>
  <si>
    <t>飲み放題</t>
  </si>
  <si>
    <t>ザ・パーフェクト黒ラベル,日本酒</t>
  </si>
  <si>
    <t>https://tabelog.com/osaka/A2701/A270106/27090438</t>
  </si>
  <si>
    <t>兵庫県神戸市中央区中山手通1-9-2 MOZANビル 1F</t>
  </si>
  <si>
    <t>焼き鳥,居酒屋,鳥料理</t>
  </si>
  <si>
    <t>大人数の宴会,知人・友人と</t>
  </si>
  <si>
    <t>個室,貸切</t>
  </si>
  <si>
    <t>焼酎</t>
  </si>
  <si>
    <t>https://tabelog.com/hyogo/A2801/A280101/28028831</t>
  </si>
  <si>
    <t>兵庫県神戸市中央区北長狭通1-31-33</t>
  </si>
  <si>
    <t>立ち飲み</t>
  </si>
  <si>
    <t>一人で入りやすい</t>
  </si>
  <si>
    <t>なし</t>
  </si>
  <si>
    <t>https://tabelog.com/hyogo/A2801/A280101/28048536/</t>
  </si>
  <si>
    <t>兵庫県神戸市中央区北長狭通2-7-12 pmptビル 2F</t>
  </si>
  <si>
    <t>ビアガーデン,イタリアン,ダイニングバー</t>
  </si>
  <si>
    <t>大人数の宴会,知人・友人と,一人で入りやすい</t>
  </si>
  <si>
    <t>飲み放題,食べ飲み放題</t>
  </si>
  <si>
    <t>地ビール</t>
  </si>
  <si>
    <t>https://tabelog.com/hyogo/A2801/A280101/28026306/</t>
  </si>
  <si>
    <t>兵庫県神戸市中央区中山手通1-9-12 Ｍ’Ｓビル １Ｆ</t>
  </si>
  <si>
    <t>居酒屋,海鮮,日本料理</t>
  </si>
  <si>
    <t>知人・友人と</t>
  </si>
  <si>
    <t>飲み放題,食べ放題,食べ飲み放題</t>
  </si>
  <si>
    <t>日本酒,地酒</t>
  </si>
  <si>
    <t>https://tabelog.com/hyogo/A2801/A280101/28000741/</t>
  </si>
  <si>
    <t>兵庫県神戸市中央区下山手通8-15-1 ライオンズマンション神戸元町第三 1F</t>
  </si>
  <si>
    <t>居酒屋</t>
  </si>
  <si>
    <t>デート</t>
  </si>
  <si>
    <t>https://tabelog.com/hyogo/A2801/A280102/28067405/</t>
  </si>
  <si>
    <t>兵庫県神戸市中央区元町通1-11-13</t>
  </si>
  <si>
    <t>ビアガーデン,洋食,ヨーロッパ料理</t>
  </si>
  <si>
    <t>家族・子供と,知人・友人と,一人で入りやすい</t>
  </si>
  <si>
    <t>ヱビス</t>
  </si>
  <si>
    <t>https://tabelog.com/hyogo/A2801/A280102/28001953/</t>
  </si>
  <si>
    <t>兵庫県神戸市中央区北長狭通1-2-18 三宮OSビル 6F</t>
  </si>
  <si>
    <t>バー,居酒屋,バル</t>
  </si>
  <si>
    <t>カクテル</t>
  </si>
  <si>
    <t>https://tabelog.com/hyogo/A2801/A280101/28001618/</t>
  </si>
  <si>
    <t>兵庫県明石市大明石町1-6-1 パピオス明石 1F</t>
  </si>
  <si>
    <t>焼肉,ホルモン,ダイニングバー</t>
  </si>
  <si>
    <t>家族・子供と,デート,知人・友人と</t>
  </si>
  <si>
    <t>神泡</t>
  </si>
  <si>
    <t>https://tabelog.com/hyogo/A2804/A280401/28038708/</t>
  </si>
  <si>
    <t>大阪府大阪市中央区東心斎橋1-7-10 アパホテルなんば心斎橋東 1F</t>
  </si>
  <si>
    <t>焼肉</t>
  </si>
  <si>
    <t>家族・子供と</t>
  </si>
  <si>
    <t>https://tabelog.com/osaka/A2701/A270201/27128762/</t>
  </si>
  <si>
    <t>大阪府大阪市北区梅田1-12-6 イーマ　５Ｆ</t>
  </si>
  <si>
    <t>焼肉,ステーキ,ホルモン</t>
  </si>
  <si>
    <t>家族・子供と,接待,知人・友人と</t>
  </si>
  <si>
    <t>個室</t>
  </si>
  <si>
    <t>日本酒,ワイン</t>
  </si>
  <si>
    <t>https://tabelog.com/osaka/A2701/A270101/27040612/</t>
  </si>
  <si>
    <t>兵庫県神戸市中央区下山手通4-13-5 三木ビル</t>
  </si>
  <si>
    <t>中華料理,四川料理,居酒屋</t>
  </si>
  <si>
    <t>家族・子供と,一人で入りやすい,知人・友人と</t>
  </si>
  <si>
    <t>https://tabelog.com/hyogo/A2801/A280102/28023301/</t>
  </si>
  <si>
    <t>大阪府大阪市福島区福島7-8-3 福本ビル 3F</t>
  </si>
  <si>
    <t>焼肉,すき焼き,しゃぶしゃぶ</t>
  </si>
  <si>
    <t>家族・子供と,デート</t>
  </si>
  <si>
    <t>ワイン</t>
  </si>
  <si>
    <t>https://tabelog.com/osaka/A2701/A270108/27123777/</t>
  </si>
  <si>
    <t>大阪府大阪市中央区難波3-1-25</t>
  </si>
  <si>
    <t>焼肉,ソフトクリーム</t>
  </si>
  <si>
    <t>接待,デート</t>
  </si>
  <si>
    <t>https://tabelog.com/osaka/A2701/A270202/27020008/</t>
  </si>
  <si>
    <t>大阪府大阪市北区芝田1-7-2</t>
  </si>
  <si>
    <t>海鮮,居酒屋</t>
  </si>
  <si>
    <t>神泡,日本酒</t>
  </si>
  <si>
    <t>https://tabelog.com/osaka/A2701/A270101/27108085/</t>
  </si>
  <si>
    <t>大阪府大阪市北区中崎西1-4-22 梅田東ビル1F</t>
  </si>
  <si>
    <t>イタリアン,バル,スペイン料理</t>
  </si>
  <si>
    <t>女子会,知人・友人と</t>
  </si>
  <si>
    <t>神泡,ワイン</t>
  </si>
  <si>
    <t>https://tabelog.com/osaka/A2701/A270101/27062704/</t>
  </si>
  <si>
    <t>兵庫県神戸市垂水区平磯4-4-16 川本ビル 1F</t>
  </si>
  <si>
    <t>家族・子供と,接待,デート</t>
  </si>
  <si>
    <t>貸切,個室</t>
  </si>
  <si>
    <t>焼酎,日本酒</t>
  </si>
  <si>
    <t>https://tabelog.com/hyogo/A2801/A280110/28052878/</t>
  </si>
  <si>
    <t>岡山県岡山市北区岩田町2-31</t>
  </si>
  <si>
    <t>https://tabelog.com/okayama/A3301/A330101/33018416/</t>
  </si>
  <si>
    <t>大阪府大阪市北区堂山町6-12 オーパビル 1F</t>
  </si>
  <si>
    <t>居酒屋,焼き鳥,ワインバー</t>
  </si>
  <si>
    <t>ワイン,カクテル</t>
  </si>
  <si>
    <t>https://tabelog.com/osaka/A2701/A270101/27090285/</t>
  </si>
  <si>
    <t>兵庫県尼崎市潮江1-16-1 アミング潮江ウエスト</t>
  </si>
  <si>
    <t>居酒屋,ステーキ</t>
  </si>
  <si>
    <t>日本酒</t>
  </si>
  <si>
    <t>https://tabelog.com/hyogo/A2803/A280304/28063241/</t>
  </si>
  <si>
    <t>兵庫県神戸市中央区京町25 ORIENTAL HOTEL　１７F</t>
  </si>
  <si>
    <t>バー,イタリアン,カフェ</t>
  </si>
  <si>
    <t>日本酒,焼酎,ワイン,カクテル</t>
  </si>
  <si>
    <t>https://tabelog.com/hyogo/A2801/A280102/28024001/</t>
  </si>
  <si>
    <t>兵庫県神戸市兵庫区西多聞通2-2-6</t>
  </si>
  <si>
    <t>焼き鳥,鍋,居酒屋</t>
  </si>
  <si>
    <t>知人・友人と,家族・子供と</t>
  </si>
  <si>
    <t>日本酒,焼酎,ワイン</t>
  </si>
  <si>
    <t>https://tabelog.com/hyogo/A2801/A280102/28010590/</t>
  </si>
  <si>
    <t>兵庫県神戸市中央区磯上通7-1-19 プログレス神戸 8F</t>
  </si>
  <si>
    <t>ビアガーデン,ビアホール,BBQ</t>
  </si>
  <si>
    <t>デート,知人・友人と,家族・子供と,大人数の宴会</t>
  </si>
  <si>
    <t>飲み放題,食べ放題</t>
  </si>
  <si>
    <t>ザ・パーフェクト黒ラベル</t>
  </si>
  <si>
    <t>https://tabelog.com/hyogo/A2801/A280101/28028551/</t>
  </si>
  <si>
    <t>兵庫県神戸市中央区三宮町2-5-18</t>
  </si>
  <si>
    <t>ビアバー,洋食,ビアホール</t>
  </si>
  <si>
    <t>https://tabelog.com/hyogo/A2801/A280101/28001655/</t>
  </si>
  <si>
    <t>兵庫県神戸市中央区北長狭通1-1-3</t>
  </si>
  <si>
    <t>バル,居酒屋,焼き鳥</t>
  </si>
  <si>
    <t>https://tabelog.com/hyogo/A2801/A280101/28061943/</t>
  </si>
  <si>
    <t>兵庫県神戸市中央区下山手通2-16-2 ITビル1F</t>
  </si>
  <si>
    <t>焼肉,鍋,居酒屋</t>
  </si>
  <si>
    <t>ワイン,焼酎,カクテル</t>
  </si>
  <si>
    <t>https://tabelog.com/hyogo/A2801/A280101/28027675/</t>
  </si>
  <si>
    <t>兵庫県神戸市中央区琴ノ緒町5-2-2 三信ビル 2F</t>
  </si>
  <si>
    <t>焼き鳥,水炊き,居酒屋</t>
  </si>
  <si>
    <t>日本酒,焼酎</t>
  </si>
  <si>
    <t>https://tabelog.com/hyogo/A2801/A280101/28043769/</t>
  </si>
  <si>
    <t>兵庫県神戸市中央区北長狭通1-7-5 ハクサンビル　Ｂ１Ｆ～１Ｆ</t>
  </si>
  <si>
    <t>沖縄料理,海鮮,居酒屋</t>
  </si>
  <si>
    <t>知人・友人と,家族・子供と,大人数の宴会</t>
  </si>
  <si>
    <t>カクテル,神泡</t>
  </si>
  <si>
    <t>https://tabelog.com/hyogo/A2801/A280101/28003319/</t>
  </si>
  <si>
    <t>兵庫県神戸市中央区加納町4-9-29 神戸エステートビル B1F</t>
  </si>
  <si>
    <t>串揚げ,海鮮,居酒屋</t>
  </si>
  <si>
    <t>知人・友人と,大人数の宴会</t>
  </si>
  <si>
    <t>日本酒,焼酎,神泡</t>
  </si>
  <si>
    <t>https://tabelog.com/hyogo/A2801/A280101/28003848/</t>
  </si>
  <si>
    <t>兵庫県神戸市中央区多聞通3-3-1 神戸アークプラザビル 9F</t>
  </si>
  <si>
    <t>ちゃんこ鍋,海鮮,居酒屋</t>
  </si>
  <si>
    <t>日本酒,焼酎,神泡,ワイン,カクテル</t>
  </si>
  <si>
    <t>https://tabelog.com/hyogo/A2801/A280102/28059325/</t>
  </si>
  <si>
    <t>兵庫県神戸市中央区栄町通7-1-10 エクセレンス西元町　１Ｆ</t>
  </si>
  <si>
    <t>創作料理,居酒屋</t>
  </si>
  <si>
    <t>https://tabelog.com/hyogo/A2801/A280102/28003662/</t>
  </si>
  <si>
    <t>兵庫県神戸市中央区相生町4-2-5 田中ビル1F</t>
  </si>
  <si>
    <t>居酒屋,海鮮,創作料理</t>
  </si>
  <si>
    <t>https://tabelog.com/hyogo/A2801/A280102/28028030/</t>
  </si>
  <si>
    <t>兵庫県神戸市中央区相生町4-6-7</t>
  </si>
  <si>
    <t>ダイニングバー,鳥料理,焼き鳥</t>
  </si>
  <si>
    <t>https://tabelog.com/hyogo/A2801/A280102/28007885/</t>
  </si>
  <si>
    <t>兵庫県神戸市中央区多聞通1-1-2 太古堂ビル 1F～2F</t>
  </si>
  <si>
    <t>https://tabelog.com/hyogo/A2801/A280102/28037545/</t>
  </si>
  <si>
    <t>兵庫県神戸市中央区磯上通6-1-9 神戸ＭＫビル　１Ｆ</t>
  </si>
  <si>
    <t>居酒屋,鍋,釜飯</t>
  </si>
  <si>
    <t>知人・友人と,家族・子供と,接待</t>
  </si>
  <si>
    <t>https://tabelog.com/hyogo/A2801/A280101/28000085/</t>
  </si>
  <si>
    <t>兵庫県神戸市中央区加納町4-7-20 イーグルビル　１Ｆ・２Ｆ</t>
  </si>
  <si>
    <t>居酒屋,鳥料理,海鮮</t>
  </si>
  <si>
    <t>https://tabelog.com/hyogo/A2801/A280101/28000732/</t>
  </si>
  <si>
    <t>兵庫県神戸市中央区加納町4-3-5 シャトー北野坂ビル 1F・B1F</t>
  </si>
  <si>
    <t>居酒屋,郷土料理,海鮮</t>
  </si>
  <si>
    <t>知人・友人と,家族・子供と,接待,大人数の宴会</t>
  </si>
  <si>
    <t>日本酒,焼酎,カクテル,神泡</t>
  </si>
  <si>
    <t>https://tabelog.com/hyogo/A2801/A280101/28003669/</t>
  </si>
  <si>
    <t>兵庫県神戸市中央区北長狭通4-3-23 満園ビル 1F</t>
  </si>
  <si>
    <t>中華料理,餃子,飲茶・点心</t>
  </si>
  <si>
    <t>https://tabelog.com/hyogo/A2801/A280102/28057759/</t>
  </si>
  <si>
    <t>兵庫県神戸市中央区北長狭通1-2-3 二鶴ビル 3F</t>
  </si>
  <si>
    <t>居酒屋,焼肉,もつ鍋</t>
  </si>
  <si>
    <t>https://tabelog.com/hyogo/A2801/A280101/28002978/</t>
  </si>
  <si>
    <t>愛知県名古屋市中村区名駅1-1-3 JRゲートタワー 12F</t>
  </si>
  <si>
    <t>ハンバーグ,ステーキ,洋食</t>
  </si>
  <si>
    <t>https://tabelog.com/aichi/A2301/A230101/23063417/</t>
  </si>
  <si>
    <t>大阪府堺市北区百舌鳥梅町3-22-2 ハビテーション中百舌鳥 1F</t>
  </si>
  <si>
    <t>居酒屋,ステーキ,バル</t>
  </si>
  <si>
    <t>https://tabelog.com/osaka/A2705/A270501/27089856/</t>
  </si>
  <si>
    <t>京都府福知山市中ノ233-11</t>
  </si>
  <si>
    <t>居酒屋,鳥料理,鍋</t>
  </si>
  <si>
    <t>https://tabelog.com/kyoto/A2608/A260802/26013202/</t>
  </si>
  <si>
    <t>兵庫県丹波篠山市二階町58</t>
  </si>
  <si>
    <t>郷土料理,すき焼き,鍋</t>
  </si>
  <si>
    <t>https://tabelog.com/hyogo/A2807/A280702/28015865/</t>
  </si>
  <si>
    <t>兵庫県神戸市中央区元町通3-11-4</t>
  </si>
  <si>
    <t>居酒屋,海鮮,しゃぶしゃぶ</t>
  </si>
  <si>
    <t>家族・子供と,一人で入りやすい,大人数の宴会</t>
  </si>
  <si>
    <t>https://tabelog.com/hyogo/A2801/A280102/28045233/</t>
  </si>
  <si>
    <t>大阪府大阪市北区曽根崎2-10-14</t>
  </si>
  <si>
    <t>居酒屋,海鮮,鍋</t>
  </si>
  <si>
    <t>https://tabelog.com/osaka/A2701/A270101/27141273/</t>
  </si>
  <si>
    <t>大阪府大阪市北区堂山町4-12 白馬車BLD. 3F</t>
  </si>
  <si>
    <t>家族・子供と,大人数の宴会</t>
  </si>
  <si>
    <t>https://tabelog.com/osaka/A2701/A270101/27128292/</t>
  </si>
  <si>
    <t>新潟の地酒と銀しゃり 信</t>
  </si>
  <si>
    <t>とり禅</t>
  </si>
  <si>
    <t>スタンド クラシック</t>
  </si>
  <si>
    <t>スターボード</t>
  </si>
  <si>
    <t>一夜一夜 神戸本店</t>
  </si>
  <si>
    <t>食堂 丸山</t>
  </si>
  <si>
    <t>ピンチョス 元町ヱビス</t>
  </si>
  <si>
    <t>エスプリ 三宮6Ｆ店</t>
  </si>
  <si>
    <t>明石焼肉 MORISHIN 明石駅前店</t>
  </si>
  <si>
    <t>YAKINIKUEN 忍鬨 東心斎橋2号店</t>
  </si>
  <si>
    <t>但馬屋イーマ</t>
  </si>
  <si>
    <t>四川曹家官府菜　蜀</t>
  </si>
  <si>
    <t>すみび焼肉　Da-Wa</t>
  </si>
  <si>
    <t>焼肉一丁 難波店</t>
  </si>
  <si>
    <t>酒と肴 SUIGEI</t>
  </si>
  <si>
    <t>中崎バール Switch</t>
  </si>
  <si>
    <t>くずし割烹　ZUTTO</t>
  </si>
  <si>
    <t>はらペコ屋 たま商店</t>
  </si>
  <si>
    <t>クシヤキとワイン CASSIWA 東通り店</t>
  </si>
  <si>
    <t>炭火の王様</t>
  </si>
  <si>
    <t>ザ・バージェイダブリューハート</t>
  </si>
  <si>
    <t>鳥料理 かね正</t>
  </si>
  <si>
    <t>ラピュタザフランダーステイル 三宮 神戸国際会館前</t>
  </si>
  <si>
    <t>ニューミュンヘン 神戸大使館</t>
  </si>
  <si>
    <t>Bespoke</t>
  </si>
  <si>
    <t>炭火焼肉・にくなべ屋 神戸びいどろ 本店</t>
  </si>
  <si>
    <t>炭火焼鳥酒場だんご 三宮東店</t>
  </si>
  <si>
    <t>沖縄料理 金魚 三宮本店</t>
  </si>
  <si>
    <t>集い居酒屋ふくふく</t>
  </si>
  <si>
    <t>日日是 神戸 段</t>
  </si>
  <si>
    <t>草乃家</t>
  </si>
  <si>
    <t>汐の風</t>
  </si>
  <si>
    <t>焼きとり 辻</t>
  </si>
  <si>
    <t>農業高校レストラン</t>
  </si>
  <si>
    <t>黒十 神戸本店</t>
  </si>
  <si>
    <t>銀平 三宮店</t>
  </si>
  <si>
    <t>郷土料理 からす</t>
  </si>
  <si>
    <t>満園</t>
  </si>
  <si>
    <t>からから屋 三宮店</t>
  </si>
  <si>
    <t>ミート矢澤 名古屋</t>
  </si>
  <si>
    <t>FLEURAGE</t>
  </si>
  <si>
    <t>鳥名子</t>
  </si>
  <si>
    <t>懐</t>
  </si>
  <si>
    <t>とろさば料理専門店　SABAR 神戸元町店</t>
  </si>
  <si>
    <t>肉ト魚 大衆酒場 ひとめぼれ 梅田本店</t>
  </si>
  <si>
    <t>海鮮酒場 うおぷく</t>
  </si>
  <si>
    <t>Lord Bar</t>
    <phoneticPr fontId="1"/>
  </si>
  <si>
    <t>大阪府大阪市北区曽根崎新地2-4-1 ホテルマイステイズプレミア堂島 1F</t>
    <phoneticPr fontId="1"/>
  </si>
  <si>
    <t>バー</t>
    <phoneticPr fontId="1"/>
  </si>
  <si>
    <t>一人で入りやすい</t>
    <phoneticPr fontId="1"/>
  </si>
  <si>
    <t>貸切</t>
    <rPh sb="0" eb="2">
      <t>カシキリ</t>
    </rPh>
    <phoneticPr fontId="1"/>
  </si>
  <si>
    <t>カクテル</t>
    <phoneticPr fontId="1"/>
  </si>
  <si>
    <t>なし</t>
    <phoneticPr fontId="1"/>
  </si>
  <si>
    <t>https://tabelog.com/osaka/A2701/A270101/27143509/</t>
  </si>
  <si>
    <t>MAP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</si>
</sst>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sz val="11"/>
      <color rgb="FFCE9178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1" applyFont="1"/>
    <xf numFmtId="0" fontId="0" fillId="0" borderId="1" xfId="0" applyBorder="1"/>
    <xf numFmtId="0" fontId="3" fillId="0" borderId="1" xfId="1" applyBorder="1"/>
    <xf numFmtId="0" fontId="5" fillId="2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28575</xdr:rowOff>
        </xdr:from>
        <xdr:to>
          <xdr:col>14</xdr:col>
          <xdr:colOff>152400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shops.js 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eocoding.jp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8F099-AC72-47D9-AED8-12B7B941E321}">
  <sheetPr codeName="Sheet2"/>
  <dimension ref="A1:K48"/>
  <sheetViews>
    <sheetView tabSelected="1" workbookViewId="0">
      <selection activeCell="K1" sqref="K1"/>
    </sheetView>
  </sheetViews>
  <sheetFormatPr defaultRowHeight="18.75"/>
  <cols>
    <col min="2" max="2" width="10.375" customWidth="1"/>
  </cols>
  <sheetData>
    <row r="1" spans="1:11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  <c r="H1" s="7" t="s">
        <v>14</v>
      </c>
      <c r="I1" s="7" t="s">
        <v>15</v>
      </c>
      <c r="J1" s="7" t="s">
        <v>16</v>
      </c>
      <c r="K1" s="7" t="s">
        <v>260</v>
      </c>
    </row>
    <row r="2" spans="1:11">
      <c r="A2" s="8" t="s">
        <v>206</v>
      </c>
      <c r="B2" s="8" t="s">
        <v>17</v>
      </c>
      <c r="C2" s="8">
        <v>34.682642000000001</v>
      </c>
      <c r="D2" s="8">
        <v>135.502172</v>
      </c>
      <c r="E2" s="8" t="s">
        <v>18</v>
      </c>
      <c r="F2" s="8" t="s">
        <v>19</v>
      </c>
      <c r="G2" s="8" t="s">
        <v>20</v>
      </c>
      <c r="H2" s="8" t="s">
        <v>21</v>
      </c>
      <c r="I2" s="8" t="s">
        <v>22</v>
      </c>
      <c r="J2" s="8" t="s">
        <v>23</v>
      </c>
      <c r="K2" s="5" t="str">
        <f>HYPERLINK("https://www.google.co.jp/maps/place/"&amp;C2&amp;","&amp;D2,"●")</f>
        <v>●</v>
      </c>
    </row>
    <row r="3" spans="1:11">
      <c r="A3" s="8" t="s">
        <v>207</v>
      </c>
      <c r="B3" s="8" t="s">
        <v>24</v>
      </c>
      <c r="C3" s="8">
        <v>34.695690999999997</v>
      </c>
      <c r="D3" s="8">
        <v>135.19217499999999</v>
      </c>
      <c r="E3" s="8" t="s">
        <v>25</v>
      </c>
      <c r="F3" s="8" t="s">
        <v>26</v>
      </c>
      <c r="G3" s="8" t="s">
        <v>27</v>
      </c>
      <c r="H3" s="8" t="s">
        <v>21</v>
      </c>
      <c r="I3" s="8" t="s">
        <v>28</v>
      </c>
      <c r="J3" s="8" t="s">
        <v>29</v>
      </c>
      <c r="K3" s="5" t="str">
        <f t="shared" ref="K3:K48" si="0">HYPERLINK("https://www.google.co.jp/maps/place/"&amp;C3&amp;","&amp;D3,"●")</f>
        <v>●</v>
      </c>
    </row>
    <row r="4" spans="1:11">
      <c r="A4" s="8" t="s">
        <v>208</v>
      </c>
      <c r="B4" s="8" t="s">
        <v>30</v>
      </c>
      <c r="C4" s="8">
        <v>34.692335999999997</v>
      </c>
      <c r="D4" s="8">
        <v>135.19198</v>
      </c>
      <c r="E4" s="8" t="s">
        <v>31</v>
      </c>
      <c r="F4" s="8" t="s">
        <v>32</v>
      </c>
      <c r="G4" s="8" t="s">
        <v>33</v>
      </c>
      <c r="H4" s="8" t="s">
        <v>33</v>
      </c>
      <c r="I4" s="8" t="s">
        <v>22</v>
      </c>
      <c r="J4" s="8" t="s">
        <v>34</v>
      </c>
      <c r="K4" s="5" t="str">
        <f t="shared" si="0"/>
        <v>●</v>
      </c>
    </row>
    <row r="5" spans="1:11">
      <c r="A5" s="8" t="s">
        <v>209</v>
      </c>
      <c r="B5" s="8" t="s">
        <v>35</v>
      </c>
      <c r="C5" s="8">
        <v>34.692155999999997</v>
      </c>
      <c r="D5" s="8">
        <v>135.189986</v>
      </c>
      <c r="E5" s="8" t="s">
        <v>36</v>
      </c>
      <c r="F5" s="8" t="s">
        <v>37</v>
      </c>
      <c r="G5" s="8" t="s">
        <v>33</v>
      </c>
      <c r="H5" s="8" t="s">
        <v>38</v>
      </c>
      <c r="I5" s="8" t="s">
        <v>39</v>
      </c>
      <c r="J5" s="8" t="s">
        <v>40</v>
      </c>
      <c r="K5" s="5" t="str">
        <f t="shared" si="0"/>
        <v>●</v>
      </c>
    </row>
    <row r="6" spans="1:11">
      <c r="A6" s="8" t="s">
        <v>210</v>
      </c>
      <c r="B6" s="8" t="s">
        <v>41</v>
      </c>
      <c r="C6" s="8">
        <v>34.695647999999998</v>
      </c>
      <c r="D6" s="8">
        <v>135.191926</v>
      </c>
      <c r="E6" s="8" t="s">
        <v>42</v>
      </c>
      <c r="F6" s="8" t="s">
        <v>43</v>
      </c>
      <c r="G6" s="8" t="s">
        <v>33</v>
      </c>
      <c r="H6" s="8" t="s">
        <v>44</v>
      </c>
      <c r="I6" s="8" t="s">
        <v>45</v>
      </c>
      <c r="J6" s="8" t="s">
        <v>46</v>
      </c>
      <c r="K6" s="5" t="str">
        <f t="shared" si="0"/>
        <v>●</v>
      </c>
    </row>
    <row r="7" spans="1:11">
      <c r="A7" s="8" t="s">
        <v>211</v>
      </c>
      <c r="B7" s="8" t="s">
        <v>47</v>
      </c>
      <c r="C7" s="8">
        <v>34.687122000000002</v>
      </c>
      <c r="D7" s="8">
        <v>135.17963</v>
      </c>
      <c r="E7" s="8" t="s">
        <v>48</v>
      </c>
      <c r="F7" s="8" t="s">
        <v>49</v>
      </c>
      <c r="G7" s="8" t="s">
        <v>33</v>
      </c>
      <c r="H7" s="8" t="s">
        <v>44</v>
      </c>
      <c r="I7" s="8" t="s">
        <v>45</v>
      </c>
      <c r="J7" s="8" t="s">
        <v>50</v>
      </c>
      <c r="K7" s="5" t="str">
        <f t="shared" si="0"/>
        <v>●</v>
      </c>
    </row>
    <row r="8" spans="1:11">
      <c r="A8" s="8" t="s">
        <v>212</v>
      </c>
      <c r="B8" s="8" t="s">
        <v>51</v>
      </c>
      <c r="C8" s="8">
        <v>34.689827000000001</v>
      </c>
      <c r="D8" s="8">
        <v>135.18883099999999</v>
      </c>
      <c r="E8" s="8" t="s">
        <v>52</v>
      </c>
      <c r="F8" s="8" t="s">
        <v>53</v>
      </c>
      <c r="G8" s="8" t="s">
        <v>20</v>
      </c>
      <c r="H8" s="8" t="s">
        <v>44</v>
      </c>
      <c r="I8" s="8" t="s">
        <v>54</v>
      </c>
      <c r="J8" s="8" t="s">
        <v>55</v>
      </c>
      <c r="K8" s="5" t="str">
        <f t="shared" si="0"/>
        <v>●</v>
      </c>
    </row>
    <row r="9" spans="1:11">
      <c r="A9" s="8" t="s">
        <v>213</v>
      </c>
      <c r="B9" s="8" t="s">
        <v>56</v>
      </c>
      <c r="C9" s="8">
        <v>34.694153999999997</v>
      </c>
      <c r="D9" s="8">
        <v>135.19328100000001</v>
      </c>
      <c r="E9" s="8" t="s">
        <v>57</v>
      </c>
      <c r="F9" s="8" t="s">
        <v>37</v>
      </c>
      <c r="G9" s="8" t="s">
        <v>20</v>
      </c>
      <c r="H9" s="8" t="s">
        <v>21</v>
      </c>
      <c r="I9" s="8" t="s">
        <v>58</v>
      </c>
      <c r="J9" s="8" t="s">
        <v>59</v>
      </c>
      <c r="K9" s="5" t="str">
        <f t="shared" si="0"/>
        <v>●</v>
      </c>
    </row>
    <row r="10" spans="1:11">
      <c r="A10" s="8" t="s">
        <v>214</v>
      </c>
      <c r="B10" s="8" t="s">
        <v>60</v>
      </c>
      <c r="C10" s="8">
        <v>34.647975000000002</v>
      </c>
      <c r="D10" s="8">
        <v>134.99202399999999</v>
      </c>
      <c r="E10" s="8" t="s">
        <v>61</v>
      </c>
      <c r="F10" s="8" t="s">
        <v>62</v>
      </c>
      <c r="G10" s="8" t="s">
        <v>20</v>
      </c>
      <c r="H10" s="8" t="s">
        <v>21</v>
      </c>
      <c r="I10" s="8" t="s">
        <v>63</v>
      </c>
      <c r="J10" s="8" t="s">
        <v>64</v>
      </c>
      <c r="K10" s="5" t="str">
        <f t="shared" si="0"/>
        <v>●</v>
      </c>
    </row>
    <row r="11" spans="1:11">
      <c r="A11" s="8" t="s">
        <v>215</v>
      </c>
      <c r="B11" s="8" t="s">
        <v>65</v>
      </c>
      <c r="C11" s="8">
        <v>34.672801999999997</v>
      </c>
      <c r="D11" s="8">
        <v>135.505043</v>
      </c>
      <c r="E11" s="8" t="s">
        <v>66</v>
      </c>
      <c r="F11" s="8" t="s">
        <v>67</v>
      </c>
      <c r="G11" s="8" t="s">
        <v>33</v>
      </c>
      <c r="H11" s="8" t="s">
        <v>33</v>
      </c>
      <c r="I11" s="8" t="s">
        <v>63</v>
      </c>
      <c r="J11" s="8" t="s">
        <v>68</v>
      </c>
      <c r="K11" s="5" t="str">
        <f t="shared" si="0"/>
        <v>●</v>
      </c>
    </row>
    <row r="12" spans="1:11">
      <c r="A12" s="8" t="s">
        <v>216</v>
      </c>
      <c r="B12" s="8" t="s">
        <v>69</v>
      </c>
      <c r="C12" s="8">
        <v>34.700645000000002</v>
      </c>
      <c r="D12" s="8">
        <v>135.49862400000001</v>
      </c>
      <c r="E12" s="8" t="s">
        <v>70</v>
      </c>
      <c r="F12" s="8" t="s">
        <v>71</v>
      </c>
      <c r="G12" s="8" t="s">
        <v>72</v>
      </c>
      <c r="H12" s="8" t="s">
        <v>21</v>
      </c>
      <c r="I12" s="8" t="s">
        <v>73</v>
      </c>
      <c r="J12" s="8" t="s">
        <v>74</v>
      </c>
      <c r="K12" s="5" t="str">
        <f t="shared" si="0"/>
        <v>●</v>
      </c>
    </row>
    <row r="13" spans="1:11">
      <c r="A13" s="8" t="s">
        <v>217</v>
      </c>
      <c r="B13" s="8" t="s">
        <v>75</v>
      </c>
      <c r="C13" s="8">
        <v>34.692594</v>
      </c>
      <c r="D13" s="8">
        <v>135.18581</v>
      </c>
      <c r="E13" s="8" t="s">
        <v>76</v>
      </c>
      <c r="F13" s="8" t="s">
        <v>77</v>
      </c>
      <c r="G13" s="8" t="s">
        <v>27</v>
      </c>
      <c r="H13" s="8" t="s">
        <v>33</v>
      </c>
      <c r="I13" s="8" t="s">
        <v>33</v>
      </c>
      <c r="J13" s="8" t="s">
        <v>78</v>
      </c>
      <c r="K13" s="5" t="str">
        <f t="shared" si="0"/>
        <v>●</v>
      </c>
    </row>
    <row r="14" spans="1:11">
      <c r="A14" s="8" t="s">
        <v>218</v>
      </c>
      <c r="B14" s="8" t="s">
        <v>79</v>
      </c>
      <c r="C14" s="8">
        <v>34.696772000000003</v>
      </c>
      <c r="D14" s="8">
        <v>135.48562100000001</v>
      </c>
      <c r="E14" s="8" t="s">
        <v>80</v>
      </c>
      <c r="F14" s="8" t="s">
        <v>81</v>
      </c>
      <c r="G14" s="8" t="s">
        <v>20</v>
      </c>
      <c r="H14" s="8" t="s">
        <v>33</v>
      </c>
      <c r="I14" s="8" t="s">
        <v>82</v>
      </c>
      <c r="J14" s="8" t="s">
        <v>83</v>
      </c>
      <c r="K14" s="5" t="str">
        <f t="shared" si="0"/>
        <v>●</v>
      </c>
    </row>
    <row r="15" spans="1:11">
      <c r="A15" s="8" t="s">
        <v>219</v>
      </c>
      <c r="B15" s="8" t="s">
        <v>84</v>
      </c>
      <c r="C15" s="8">
        <v>34.665787000000002</v>
      </c>
      <c r="D15" s="8">
        <v>135.50222400000001</v>
      </c>
      <c r="E15" s="8" t="s">
        <v>85</v>
      </c>
      <c r="F15" s="8" t="s">
        <v>86</v>
      </c>
      <c r="G15" s="8" t="s">
        <v>27</v>
      </c>
      <c r="H15" s="8" t="s">
        <v>33</v>
      </c>
      <c r="I15" s="8" t="s">
        <v>82</v>
      </c>
      <c r="J15" s="8" t="s">
        <v>87</v>
      </c>
      <c r="K15" s="5" t="str">
        <f t="shared" si="0"/>
        <v>●</v>
      </c>
    </row>
    <row r="16" spans="1:11">
      <c r="A16" s="8" t="s">
        <v>220</v>
      </c>
      <c r="B16" s="8" t="s">
        <v>88</v>
      </c>
      <c r="C16" s="8">
        <v>34.707354000000002</v>
      </c>
      <c r="D16" s="8">
        <v>135.49798100000001</v>
      </c>
      <c r="E16" s="8" t="s">
        <v>89</v>
      </c>
      <c r="F16" s="8" t="s">
        <v>33</v>
      </c>
      <c r="G16" s="8" t="s">
        <v>33</v>
      </c>
      <c r="H16" s="8" t="s">
        <v>33</v>
      </c>
      <c r="I16" s="8" t="s">
        <v>90</v>
      </c>
      <c r="J16" s="8" t="s">
        <v>91</v>
      </c>
      <c r="K16" s="5" t="str">
        <f t="shared" si="0"/>
        <v>●</v>
      </c>
    </row>
    <row r="17" spans="1:11">
      <c r="A17" s="8" t="s">
        <v>221</v>
      </c>
      <c r="B17" s="8" t="s">
        <v>92</v>
      </c>
      <c r="C17" s="8">
        <v>34.706646999999997</v>
      </c>
      <c r="D17" s="8">
        <v>135.50385800000001</v>
      </c>
      <c r="E17" s="8" t="s">
        <v>93</v>
      </c>
      <c r="F17" s="8" t="s">
        <v>94</v>
      </c>
      <c r="G17" s="8" t="s">
        <v>20</v>
      </c>
      <c r="H17" s="8" t="s">
        <v>33</v>
      </c>
      <c r="I17" s="8" t="s">
        <v>95</v>
      </c>
      <c r="J17" s="8" t="s">
        <v>96</v>
      </c>
      <c r="K17" s="5" t="str">
        <f t="shared" si="0"/>
        <v>●</v>
      </c>
    </row>
    <row r="18" spans="1:11">
      <c r="A18" s="8" t="s">
        <v>222</v>
      </c>
      <c r="B18" s="8" t="s">
        <v>97</v>
      </c>
      <c r="C18" s="8">
        <v>34.628912</v>
      </c>
      <c r="D18" s="8">
        <v>135.05532400000001</v>
      </c>
      <c r="E18" s="8" t="s">
        <v>42</v>
      </c>
      <c r="F18" s="8" t="s">
        <v>98</v>
      </c>
      <c r="G18" s="8" t="s">
        <v>99</v>
      </c>
      <c r="H18" s="8" t="s">
        <v>21</v>
      </c>
      <c r="I18" s="8" t="s">
        <v>100</v>
      </c>
      <c r="J18" s="8" t="s">
        <v>101</v>
      </c>
      <c r="K18" s="5" t="str">
        <f t="shared" si="0"/>
        <v>●</v>
      </c>
    </row>
    <row r="19" spans="1:11">
      <c r="A19" s="8" t="s">
        <v>223</v>
      </c>
      <c r="B19" s="8" t="s">
        <v>102</v>
      </c>
      <c r="C19" s="8">
        <v>34.6693</v>
      </c>
      <c r="D19" s="8">
        <v>133.92093399999999</v>
      </c>
      <c r="E19" s="8" t="s">
        <v>48</v>
      </c>
      <c r="F19" s="8" t="s">
        <v>86</v>
      </c>
      <c r="G19" s="8" t="s">
        <v>72</v>
      </c>
      <c r="H19" s="8" t="s">
        <v>21</v>
      </c>
      <c r="I19" s="8" t="s">
        <v>33</v>
      </c>
      <c r="J19" s="8" t="s">
        <v>103</v>
      </c>
      <c r="K19" s="5" t="str">
        <f t="shared" si="0"/>
        <v>●</v>
      </c>
    </row>
    <row r="20" spans="1:11">
      <c r="A20" s="8" t="s">
        <v>224</v>
      </c>
      <c r="B20" s="8" t="s">
        <v>104</v>
      </c>
      <c r="C20" s="8">
        <v>34.703139999999998</v>
      </c>
      <c r="D20" s="8">
        <v>135.502803</v>
      </c>
      <c r="E20" s="8" t="s">
        <v>105</v>
      </c>
      <c r="F20" s="8" t="s">
        <v>86</v>
      </c>
      <c r="G20" s="8" t="s">
        <v>27</v>
      </c>
      <c r="H20" s="8" t="s">
        <v>21</v>
      </c>
      <c r="I20" s="8" t="s">
        <v>106</v>
      </c>
      <c r="J20" s="8" t="s">
        <v>107</v>
      </c>
      <c r="K20" s="5" t="str">
        <f t="shared" si="0"/>
        <v>●</v>
      </c>
    </row>
    <row r="21" spans="1:11">
      <c r="A21" s="8" t="s">
        <v>225</v>
      </c>
      <c r="B21" s="8" t="s">
        <v>108</v>
      </c>
      <c r="C21" s="8">
        <v>34.734890999999998</v>
      </c>
      <c r="D21" s="8">
        <v>135.43288200000001</v>
      </c>
      <c r="E21" s="8" t="s">
        <v>109</v>
      </c>
      <c r="F21" s="8" t="s">
        <v>33</v>
      </c>
      <c r="G21" s="8" t="s">
        <v>20</v>
      </c>
      <c r="H21" s="8" t="s">
        <v>21</v>
      </c>
      <c r="I21" s="8" t="s">
        <v>110</v>
      </c>
      <c r="J21" s="8" t="s">
        <v>111</v>
      </c>
      <c r="K21" s="5" t="str">
        <f t="shared" si="0"/>
        <v>●</v>
      </c>
    </row>
    <row r="22" spans="1:11">
      <c r="A22" s="8" t="s">
        <v>226</v>
      </c>
      <c r="B22" s="8" t="s">
        <v>112</v>
      </c>
      <c r="C22" s="8">
        <v>34.687586000000003</v>
      </c>
      <c r="D22" s="8">
        <v>135.19294199999999</v>
      </c>
      <c r="E22" s="8" t="s">
        <v>113</v>
      </c>
      <c r="F22" s="8" t="s">
        <v>43</v>
      </c>
      <c r="G22" s="8" t="s">
        <v>20</v>
      </c>
      <c r="H22" s="8" t="s">
        <v>21</v>
      </c>
      <c r="I22" s="8" t="s">
        <v>114</v>
      </c>
      <c r="J22" s="8" t="s">
        <v>115</v>
      </c>
      <c r="K22" s="5" t="str">
        <f t="shared" si="0"/>
        <v>●</v>
      </c>
    </row>
    <row r="23" spans="1:11">
      <c r="A23" s="8" t="s">
        <v>227</v>
      </c>
      <c r="B23" s="8" t="s">
        <v>116</v>
      </c>
      <c r="C23" s="8">
        <v>34.678635</v>
      </c>
      <c r="D23" s="8">
        <v>135.172023</v>
      </c>
      <c r="E23" s="8" t="s">
        <v>117</v>
      </c>
      <c r="F23" s="8" t="s">
        <v>118</v>
      </c>
      <c r="G23" s="8" t="s">
        <v>99</v>
      </c>
      <c r="H23" s="8" t="s">
        <v>21</v>
      </c>
      <c r="I23" s="8" t="s">
        <v>119</v>
      </c>
      <c r="J23" s="8" t="s">
        <v>120</v>
      </c>
      <c r="K23" s="5" t="str">
        <f t="shared" si="0"/>
        <v>●</v>
      </c>
    </row>
    <row r="24" spans="1:11">
      <c r="A24" s="8" t="s">
        <v>228</v>
      </c>
      <c r="B24" s="8" t="s">
        <v>121</v>
      </c>
      <c r="C24" s="8">
        <v>34.691986</v>
      </c>
      <c r="D24" s="8">
        <v>135.19685200000001</v>
      </c>
      <c r="E24" s="8" t="s">
        <v>122</v>
      </c>
      <c r="F24" s="8" t="s">
        <v>123</v>
      </c>
      <c r="G24" s="8" t="s">
        <v>20</v>
      </c>
      <c r="H24" s="8" t="s">
        <v>124</v>
      </c>
      <c r="I24" s="8" t="s">
        <v>125</v>
      </c>
      <c r="J24" s="8" t="s">
        <v>126</v>
      </c>
      <c r="K24" s="5" t="str">
        <f t="shared" si="0"/>
        <v>●</v>
      </c>
    </row>
    <row r="25" spans="1:11">
      <c r="A25" s="8" t="s">
        <v>229</v>
      </c>
      <c r="B25" s="8" t="s">
        <v>127</v>
      </c>
      <c r="C25" s="8">
        <v>34.690621</v>
      </c>
      <c r="D25" s="8">
        <v>135.191845</v>
      </c>
      <c r="E25" s="8" t="s">
        <v>128</v>
      </c>
      <c r="F25" s="8" t="s">
        <v>118</v>
      </c>
      <c r="G25" s="8" t="s">
        <v>99</v>
      </c>
      <c r="H25" s="8" t="s">
        <v>124</v>
      </c>
      <c r="I25" s="8" t="s">
        <v>33</v>
      </c>
      <c r="J25" s="8" t="s">
        <v>129</v>
      </c>
      <c r="K25" s="5" t="str">
        <f t="shared" si="0"/>
        <v>●</v>
      </c>
    </row>
    <row r="26" spans="1:11">
      <c r="A26" s="8" t="s">
        <v>230</v>
      </c>
      <c r="B26" s="8" t="s">
        <v>130</v>
      </c>
      <c r="C26" s="8">
        <v>34.693447999999997</v>
      </c>
      <c r="D26" s="8">
        <v>135.19343000000001</v>
      </c>
      <c r="E26" s="8" t="s">
        <v>131</v>
      </c>
      <c r="F26" s="8" t="s">
        <v>67</v>
      </c>
      <c r="G26" s="8" t="s">
        <v>20</v>
      </c>
      <c r="H26" s="8" t="s">
        <v>21</v>
      </c>
      <c r="I26" s="8" t="s">
        <v>33</v>
      </c>
      <c r="J26" s="8" t="s">
        <v>132</v>
      </c>
      <c r="K26" s="5" t="str">
        <f t="shared" si="0"/>
        <v>●</v>
      </c>
    </row>
    <row r="27" spans="1:11">
      <c r="A27" s="8" t="s">
        <v>231</v>
      </c>
      <c r="B27" s="8" t="s">
        <v>133</v>
      </c>
      <c r="C27" s="8">
        <v>34.693972000000002</v>
      </c>
      <c r="D27" s="8">
        <v>135.18988100000001</v>
      </c>
      <c r="E27" s="8" t="s">
        <v>134</v>
      </c>
      <c r="F27" s="8" t="s">
        <v>123</v>
      </c>
      <c r="G27" s="8" t="s">
        <v>20</v>
      </c>
      <c r="H27" s="8" t="s">
        <v>21</v>
      </c>
      <c r="I27" s="8" t="s">
        <v>135</v>
      </c>
      <c r="J27" s="8" t="s">
        <v>136</v>
      </c>
      <c r="K27" s="5" t="str">
        <f t="shared" si="0"/>
        <v>●</v>
      </c>
    </row>
    <row r="28" spans="1:11">
      <c r="A28" s="8" t="s">
        <v>232</v>
      </c>
      <c r="B28" s="8" t="s">
        <v>137</v>
      </c>
      <c r="C28" s="8">
        <v>34.69558</v>
      </c>
      <c r="D28" s="8">
        <v>135.19519199999999</v>
      </c>
      <c r="E28" s="8" t="s">
        <v>138</v>
      </c>
      <c r="F28" s="8" t="s">
        <v>43</v>
      </c>
      <c r="G28" s="8" t="s">
        <v>20</v>
      </c>
      <c r="H28" s="8" t="s">
        <v>21</v>
      </c>
      <c r="I28" s="8" t="s">
        <v>139</v>
      </c>
      <c r="J28" s="8" t="s">
        <v>140</v>
      </c>
      <c r="K28" s="5" t="str">
        <f t="shared" si="0"/>
        <v>●</v>
      </c>
    </row>
    <row r="29" spans="1:11">
      <c r="A29" s="8" t="s">
        <v>233</v>
      </c>
      <c r="B29" s="8" t="s">
        <v>141</v>
      </c>
      <c r="C29" s="8">
        <v>34.693479000000004</v>
      </c>
      <c r="D29" s="8">
        <v>135.191901</v>
      </c>
      <c r="E29" s="8" t="s">
        <v>142</v>
      </c>
      <c r="F29" s="8" t="s">
        <v>143</v>
      </c>
      <c r="G29" s="8" t="s">
        <v>99</v>
      </c>
      <c r="H29" s="8" t="s">
        <v>21</v>
      </c>
      <c r="I29" s="8" t="s">
        <v>144</v>
      </c>
      <c r="J29" s="8" t="s">
        <v>145</v>
      </c>
      <c r="K29" s="5" t="str">
        <f t="shared" si="0"/>
        <v>●</v>
      </c>
    </row>
    <row r="30" spans="1:11">
      <c r="A30" s="8" t="s">
        <v>234</v>
      </c>
      <c r="B30" s="8" t="s">
        <v>146</v>
      </c>
      <c r="C30" s="8">
        <v>34.695694000000003</v>
      </c>
      <c r="D30" s="8">
        <v>135.193262</v>
      </c>
      <c r="E30" s="8" t="s">
        <v>147</v>
      </c>
      <c r="F30" s="8" t="s">
        <v>148</v>
      </c>
      <c r="G30" s="8" t="s">
        <v>99</v>
      </c>
      <c r="H30" s="8" t="s">
        <v>21</v>
      </c>
      <c r="I30" s="8" t="s">
        <v>149</v>
      </c>
      <c r="J30" s="8" t="s">
        <v>150</v>
      </c>
      <c r="K30" s="5" t="str">
        <f t="shared" si="0"/>
        <v>●</v>
      </c>
    </row>
    <row r="31" spans="1:11">
      <c r="A31" s="8" t="s">
        <v>235</v>
      </c>
      <c r="B31" s="8" t="s">
        <v>151</v>
      </c>
      <c r="C31" s="8">
        <v>34.679944999999996</v>
      </c>
      <c r="D31" s="8">
        <v>135.17677699999999</v>
      </c>
      <c r="E31" s="8" t="s">
        <v>152</v>
      </c>
      <c r="F31" s="8" t="s">
        <v>67</v>
      </c>
      <c r="G31" s="8" t="s">
        <v>20</v>
      </c>
      <c r="H31" s="8" t="s">
        <v>21</v>
      </c>
      <c r="I31" s="8" t="s">
        <v>153</v>
      </c>
      <c r="J31" s="8" t="s">
        <v>154</v>
      </c>
      <c r="K31" s="5" t="str">
        <f t="shared" si="0"/>
        <v>●</v>
      </c>
    </row>
    <row r="32" spans="1:11">
      <c r="A32" s="8" t="s">
        <v>236</v>
      </c>
      <c r="B32" s="8" t="s">
        <v>155</v>
      </c>
      <c r="C32" s="8">
        <v>34.681708</v>
      </c>
      <c r="D32" s="8">
        <v>135.180488</v>
      </c>
      <c r="E32" s="8" t="s">
        <v>156</v>
      </c>
      <c r="F32" s="8" t="s">
        <v>143</v>
      </c>
      <c r="G32" s="8" t="s">
        <v>20</v>
      </c>
      <c r="H32" s="8" t="s">
        <v>21</v>
      </c>
      <c r="I32" s="8" t="s">
        <v>110</v>
      </c>
      <c r="J32" s="8" t="s">
        <v>157</v>
      </c>
      <c r="K32" s="5" t="str">
        <f t="shared" si="0"/>
        <v>●</v>
      </c>
    </row>
    <row r="33" spans="1:11">
      <c r="A33" s="8" t="s">
        <v>237</v>
      </c>
      <c r="B33" s="8" t="s">
        <v>158</v>
      </c>
      <c r="C33" s="8">
        <v>34.677835999999999</v>
      </c>
      <c r="D33" s="8">
        <v>135.17763400000001</v>
      </c>
      <c r="E33" s="8" t="s">
        <v>159</v>
      </c>
      <c r="F33" s="8" t="s">
        <v>43</v>
      </c>
      <c r="G33" s="8" t="s">
        <v>99</v>
      </c>
      <c r="H33" s="8" t="s">
        <v>33</v>
      </c>
      <c r="I33" s="8" t="s">
        <v>139</v>
      </c>
      <c r="J33" s="8" t="s">
        <v>160</v>
      </c>
      <c r="K33" s="5" t="str">
        <f t="shared" si="0"/>
        <v>●</v>
      </c>
    </row>
    <row r="34" spans="1:11">
      <c r="A34" s="8" t="s">
        <v>238</v>
      </c>
      <c r="B34" s="8" t="s">
        <v>161</v>
      </c>
      <c r="C34" s="8">
        <v>34.677630999999998</v>
      </c>
      <c r="D34" s="8">
        <v>135.17640700000001</v>
      </c>
      <c r="E34" s="8" t="s">
        <v>162</v>
      </c>
      <c r="F34" s="8" t="s">
        <v>43</v>
      </c>
      <c r="G34" s="8" t="s">
        <v>99</v>
      </c>
      <c r="H34" s="8" t="s">
        <v>21</v>
      </c>
      <c r="I34" s="8" t="s">
        <v>33</v>
      </c>
      <c r="J34" s="8" t="s">
        <v>163</v>
      </c>
      <c r="K34" s="5" t="str">
        <f t="shared" si="0"/>
        <v>●</v>
      </c>
    </row>
    <row r="35" spans="1:11">
      <c r="A35" s="8" t="s">
        <v>239</v>
      </c>
      <c r="B35" s="8" t="s">
        <v>164</v>
      </c>
      <c r="C35" s="8">
        <v>34.681902000000001</v>
      </c>
      <c r="D35" s="8">
        <v>135.17798500000001</v>
      </c>
      <c r="E35" s="8" t="s">
        <v>48</v>
      </c>
      <c r="F35" s="8" t="s">
        <v>118</v>
      </c>
      <c r="G35" s="8" t="s">
        <v>20</v>
      </c>
      <c r="H35" s="8" t="s">
        <v>21</v>
      </c>
      <c r="I35" s="8" t="s">
        <v>110</v>
      </c>
      <c r="J35" s="8" t="s">
        <v>165</v>
      </c>
      <c r="K35" s="5" t="str">
        <f t="shared" si="0"/>
        <v>●</v>
      </c>
    </row>
    <row r="36" spans="1:11">
      <c r="A36" s="8" t="s">
        <v>240</v>
      </c>
      <c r="B36" s="8" t="s">
        <v>166</v>
      </c>
      <c r="C36" s="8">
        <v>34.692081999999999</v>
      </c>
      <c r="D36" s="8">
        <v>135.198229</v>
      </c>
      <c r="E36" s="8" t="s">
        <v>167</v>
      </c>
      <c r="F36" s="8" t="s">
        <v>168</v>
      </c>
      <c r="G36" s="8" t="s">
        <v>99</v>
      </c>
      <c r="H36" s="8" t="s">
        <v>21</v>
      </c>
      <c r="I36" s="8" t="s">
        <v>139</v>
      </c>
      <c r="J36" s="8" t="s">
        <v>169</v>
      </c>
      <c r="K36" s="5" t="str">
        <f t="shared" si="0"/>
        <v>●</v>
      </c>
    </row>
    <row r="37" spans="1:11">
      <c r="A37" s="8" t="s">
        <v>241</v>
      </c>
      <c r="B37" s="8" t="s">
        <v>170</v>
      </c>
      <c r="C37" s="8">
        <v>34.696109</v>
      </c>
      <c r="D37" s="8">
        <v>135.19288399999999</v>
      </c>
      <c r="E37" s="8" t="s">
        <v>171</v>
      </c>
      <c r="F37" s="8" t="s">
        <v>168</v>
      </c>
      <c r="G37" s="8" t="s">
        <v>72</v>
      </c>
      <c r="H37" s="8" t="s">
        <v>21</v>
      </c>
      <c r="I37" s="8" t="s">
        <v>139</v>
      </c>
      <c r="J37" s="8" t="s">
        <v>172</v>
      </c>
      <c r="K37" s="5" t="str">
        <f t="shared" si="0"/>
        <v>●</v>
      </c>
    </row>
    <row r="38" spans="1:11">
      <c r="A38" s="8" t="s">
        <v>242</v>
      </c>
      <c r="B38" s="8" t="s">
        <v>173</v>
      </c>
      <c r="C38" s="8">
        <v>34.694772999999998</v>
      </c>
      <c r="D38" s="8">
        <v>135.193217</v>
      </c>
      <c r="E38" s="8" t="s">
        <v>174</v>
      </c>
      <c r="F38" s="8" t="s">
        <v>175</v>
      </c>
      <c r="G38" s="8" t="s">
        <v>27</v>
      </c>
      <c r="H38" s="8" t="s">
        <v>21</v>
      </c>
      <c r="I38" s="8" t="s">
        <v>176</v>
      </c>
      <c r="J38" s="8" t="s">
        <v>177</v>
      </c>
      <c r="K38" s="5" t="str">
        <f t="shared" si="0"/>
        <v>●</v>
      </c>
    </row>
    <row r="39" spans="1:11">
      <c r="A39" s="8" t="s">
        <v>243</v>
      </c>
      <c r="B39" s="8" t="s">
        <v>178</v>
      </c>
      <c r="C39" s="8">
        <v>34.691181</v>
      </c>
      <c r="D39" s="8">
        <v>135.18778499999999</v>
      </c>
      <c r="E39" s="8" t="s">
        <v>179</v>
      </c>
      <c r="F39" s="8" t="s">
        <v>67</v>
      </c>
      <c r="G39" s="8" t="s">
        <v>33</v>
      </c>
      <c r="H39" s="8" t="s">
        <v>33</v>
      </c>
      <c r="I39" s="8" t="s">
        <v>33</v>
      </c>
      <c r="J39" s="8" t="s">
        <v>180</v>
      </c>
      <c r="K39" s="5" t="str">
        <f t="shared" si="0"/>
        <v>●</v>
      </c>
    </row>
    <row r="40" spans="1:11">
      <c r="A40" s="8" t="s">
        <v>244</v>
      </c>
      <c r="B40" s="8" t="s">
        <v>181</v>
      </c>
      <c r="C40" s="8">
        <v>34.693956999999997</v>
      </c>
      <c r="D40" s="8">
        <v>135.19308000000001</v>
      </c>
      <c r="E40" s="8" t="s">
        <v>182</v>
      </c>
      <c r="F40" s="8" t="s">
        <v>118</v>
      </c>
      <c r="G40" s="8" t="s">
        <v>20</v>
      </c>
      <c r="H40" s="8" t="s">
        <v>33</v>
      </c>
      <c r="I40" s="8" t="s">
        <v>33</v>
      </c>
      <c r="J40" s="8" t="s">
        <v>183</v>
      </c>
      <c r="K40" s="5" t="str">
        <f t="shared" si="0"/>
        <v>●</v>
      </c>
    </row>
    <row r="41" spans="1:11">
      <c r="A41" s="8" t="s">
        <v>245</v>
      </c>
      <c r="B41" s="8" t="s">
        <v>184</v>
      </c>
      <c r="C41" s="8">
        <v>35.172172000000003</v>
      </c>
      <c r="D41" s="8">
        <v>136.88252900000001</v>
      </c>
      <c r="E41" s="8" t="s">
        <v>185</v>
      </c>
      <c r="F41" s="8" t="s">
        <v>67</v>
      </c>
      <c r="G41" s="8" t="s">
        <v>33</v>
      </c>
      <c r="H41" s="8" t="s">
        <v>33</v>
      </c>
      <c r="I41" s="8" t="s">
        <v>63</v>
      </c>
      <c r="J41" s="8" t="s">
        <v>186</v>
      </c>
      <c r="K41" s="5" t="str">
        <f t="shared" si="0"/>
        <v>●</v>
      </c>
    </row>
    <row r="42" spans="1:11">
      <c r="A42" s="8" t="s">
        <v>246</v>
      </c>
      <c r="B42" s="8" t="s">
        <v>187</v>
      </c>
      <c r="C42" s="8">
        <v>34.551758999999997</v>
      </c>
      <c r="D42" s="8">
        <v>135.502139</v>
      </c>
      <c r="E42" s="8" t="s">
        <v>188</v>
      </c>
      <c r="F42" s="8" t="s">
        <v>67</v>
      </c>
      <c r="G42" s="8" t="s">
        <v>20</v>
      </c>
      <c r="H42" s="8" t="s">
        <v>33</v>
      </c>
      <c r="I42" s="8" t="s">
        <v>33</v>
      </c>
      <c r="J42" s="8" t="s">
        <v>189</v>
      </c>
      <c r="K42" s="5" t="str">
        <f t="shared" si="0"/>
        <v>●</v>
      </c>
    </row>
    <row r="43" spans="1:11">
      <c r="A43" s="8" t="s">
        <v>247</v>
      </c>
      <c r="B43" s="8" t="s">
        <v>190</v>
      </c>
      <c r="C43" s="8">
        <v>35.300915000000003</v>
      </c>
      <c r="D43" s="8">
        <v>135.12165899999999</v>
      </c>
      <c r="E43" s="8" t="s">
        <v>191</v>
      </c>
      <c r="F43" s="8" t="s">
        <v>43</v>
      </c>
      <c r="G43" s="8" t="s">
        <v>20</v>
      </c>
      <c r="H43" s="8" t="s">
        <v>33</v>
      </c>
      <c r="I43" s="8" t="s">
        <v>33</v>
      </c>
      <c r="J43" s="8" t="s">
        <v>192</v>
      </c>
      <c r="K43" s="5" t="str">
        <f t="shared" si="0"/>
        <v>●</v>
      </c>
    </row>
    <row r="44" spans="1:11">
      <c r="A44" s="8" t="s">
        <v>248</v>
      </c>
      <c r="B44" s="8" t="s">
        <v>193</v>
      </c>
      <c r="C44" s="8">
        <v>35.076884999999997</v>
      </c>
      <c r="D44" s="8">
        <v>135.216825</v>
      </c>
      <c r="E44" s="8" t="s">
        <v>194</v>
      </c>
      <c r="F44" s="8" t="s">
        <v>67</v>
      </c>
      <c r="G44" s="8" t="s">
        <v>99</v>
      </c>
      <c r="H44" s="8" t="s">
        <v>33</v>
      </c>
      <c r="I44" s="8" t="s">
        <v>33</v>
      </c>
      <c r="J44" s="8" t="s">
        <v>195</v>
      </c>
      <c r="K44" s="5" t="str">
        <f t="shared" si="0"/>
        <v>●</v>
      </c>
    </row>
    <row r="45" spans="1:11">
      <c r="A45" s="8" t="s">
        <v>249</v>
      </c>
      <c r="B45" s="8" t="s">
        <v>196</v>
      </c>
      <c r="C45" s="8">
        <v>34.687286</v>
      </c>
      <c r="D45" s="8">
        <v>135.18450300000001</v>
      </c>
      <c r="E45" s="8" t="s">
        <v>197</v>
      </c>
      <c r="F45" s="8" t="s">
        <v>198</v>
      </c>
      <c r="G45" s="8" t="s">
        <v>20</v>
      </c>
      <c r="H45" s="8" t="s">
        <v>21</v>
      </c>
      <c r="I45" s="8" t="s">
        <v>110</v>
      </c>
      <c r="J45" s="8" t="s">
        <v>199</v>
      </c>
      <c r="K45" s="5" t="str">
        <f t="shared" si="0"/>
        <v>●</v>
      </c>
    </row>
    <row r="46" spans="1:11">
      <c r="A46" s="8" t="s">
        <v>250</v>
      </c>
      <c r="B46" s="8" t="s">
        <v>200</v>
      </c>
      <c r="C46" s="8">
        <v>34.700679999999998</v>
      </c>
      <c r="D46" s="8">
        <v>135.500585</v>
      </c>
      <c r="E46" s="8" t="s">
        <v>201</v>
      </c>
      <c r="F46" s="8" t="s">
        <v>33</v>
      </c>
      <c r="G46" s="8" t="s">
        <v>99</v>
      </c>
      <c r="H46" s="8" t="s">
        <v>124</v>
      </c>
      <c r="I46" s="8" t="s">
        <v>33</v>
      </c>
      <c r="J46" s="8" t="s">
        <v>202</v>
      </c>
      <c r="K46" s="5" t="str">
        <f t="shared" si="0"/>
        <v>●</v>
      </c>
    </row>
    <row r="47" spans="1:11">
      <c r="A47" s="8" t="s">
        <v>251</v>
      </c>
      <c r="B47" s="8" t="s">
        <v>203</v>
      </c>
      <c r="C47" s="8">
        <v>34.702542000000001</v>
      </c>
      <c r="D47" s="8">
        <v>135.50212200000001</v>
      </c>
      <c r="E47" s="8" t="s">
        <v>18</v>
      </c>
      <c r="F47" s="8" t="s">
        <v>204</v>
      </c>
      <c r="G47" s="8" t="s">
        <v>99</v>
      </c>
      <c r="H47" s="8" t="s">
        <v>124</v>
      </c>
      <c r="I47" s="8" t="s">
        <v>114</v>
      </c>
      <c r="J47" s="8" t="s">
        <v>205</v>
      </c>
      <c r="K47" s="5" t="str">
        <f t="shared" si="0"/>
        <v>●</v>
      </c>
    </row>
    <row r="48" spans="1:11">
      <c r="A48" s="8" t="s">
        <v>252</v>
      </c>
      <c r="B48" s="8" t="s">
        <v>253</v>
      </c>
      <c r="C48">
        <v>34.697451999999998</v>
      </c>
      <c r="D48">
        <v>135.494168</v>
      </c>
      <c r="E48" s="8" t="s">
        <v>254</v>
      </c>
      <c r="F48" s="8" t="s">
        <v>255</v>
      </c>
      <c r="G48" s="8" t="s">
        <v>256</v>
      </c>
      <c r="H48" s="8" t="s">
        <v>258</v>
      </c>
      <c r="I48" s="8" t="s">
        <v>257</v>
      </c>
      <c r="J48" t="s">
        <v>259</v>
      </c>
      <c r="K48" s="5" t="str">
        <f t="shared" si="0"/>
        <v>●</v>
      </c>
    </row>
  </sheetData>
  <autoFilter ref="A1:J1" xr:uid="{EB58F099-AC72-47D9-AED8-12B7B941E321}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ShopsToJS_UTF8">
                <anchor moveWithCells="1" sizeWithCells="1">
                  <from>
                    <xdr:col>12</xdr:col>
                    <xdr:colOff>28575</xdr:colOff>
                    <xdr:row>1</xdr:row>
                    <xdr:rowOff>28575</xdr:rowOff>
                  </from>
                  <to>
                    <xdr:col>14</xdr:col>
                    <xdr:colOff>152400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7"/>
  <sheetViews>
    <sheetView workbookViewId="0">
      <selection activeCell="B5" sqref="B5"/>
    </sheetView>
  </sheetViews>
  <sheetFormatPr defaultRowHeight="18.75"/>
  <cols>
    <col min="2" max="2" width="30.5" bestFit="1" customWidth="1"/>
    <col min="3" max="4" width="15.625" customWidth="1"/>
    <col min="5" max="5" width="9.375" bestFit="1" customWidth="1"/>
  </cols>
  <sheetData>
    <row r="2" spans="2:5">
      <c r="B2" s="1" t="s">
        <v>0</v>
      </c>
    </row>
    <row r="3" spans="2:5">
      <c r="B3" s="2" t="s">
        <v>1</v>
      </c>
    </row>
    <row r="4" spans="2:5">
      <c r="B4" s="3" t="s">
        <v>2</v>
      </c>
      <c r="C4" t="s">
        <v>4</v>
      </c>
      <c r="D4" t="s">
        <v>5</v>
      </c>
      <c r="E4" t="s">
        <v>3</v>
      </c>
    </row>
    <row r="5" spans="2:5">
      <c r="B5" s="6" t="s">
        <v>6</v>
      </c>
      <c r="C5" s="4" t="e" cm="1">
        <f t="array" ref="C5">_xlfn.FILTERXML(_xlfn.WEBSERVICE("https://www.geocoding.jp/api/?q=" &amp;B5),"//coordinate/lat")</f>
        <v>#VALUE!</v>
      </c>
      <c r="D5" s="4" t="e" cm="1">
        <f t="array" ref="D5">_xlfn.FILTERXML(_xlfn.WEBSERVICE("https://www.geocoding.jp/api/?q=" &amp;B5),"//coordinate/lng")</f>
        <v>#VALUE!</v>
      </c>
      <c r="E5" s="5" t="e">
        <f>HYPERLINK("https://www.google.co.jp/maps/place/"&amp;C5&amp;","&amp;D5,"●")</f>
        <v>#VALUE!</v>
      </c>
    </row>
    <row r="7" spans="2:5">
      <c r="B7" s="2"/>
    </row>
  </sheetData>
  <phoneticPr fontId="1"/>
  <hyperlinks>
    <hyperlink ref="B3" r:id="rId1" xr:uid="{EDECB71C-CE9D-472F-9835-76F74BE9007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店舗一覧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北野稜汰</dc:creator>
  <cp:lastModifiedBy>稜汰 北野</cp:lastModifiedBy>
  <dcterms:created xsi:type="dcterms:W3CDTF">2015-06-05T18:19:34Z</dcterms:created>
  <dcterms:modified xsi:type="dcterms:W3CDTF">2025-07-26T08:11:39Z</dcterms:modified>
</cp:coreProperties>
</file>